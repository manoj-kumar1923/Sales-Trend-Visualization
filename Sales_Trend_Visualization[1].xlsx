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Dashboard" sheetId="2" state="visible" r:id="rId4"/>
    <sheet name="Summary &amp; Ins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<sst xmlns="http://schemas.openxmlformats.org/spreadsheetml/2006/main" count="45" uniqueCount="45">
  <si>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SALES TREND ANALYSIS — FY 2024</t>
  </si>
  <si>
    <t xml:space="preserve">Monthly Sales Performance by Product Category</t>
  </si>
  <si>
    <t xml:space="preserve">Month</t>
  </si>
  <si>
    <t xml:space="preserve">Electronics</t>
  </si>
  <si>
    <t xml:space="preserve">Apparel</t>
  </si>
  <si>
    <t xml:space="preserve">Home &amp; Garden</t>
  </si>
  <si>
    <t xml:space="preserve">Sports</t>
  </si>
  <si>
    <t xml:space="preserve">Beauty</t>
  </si>
  <si>
    <t xml:space="preserve">Total</t>
  </si>
  <si>
    <t xml:space="preserve">MoM Growth</t>
  </si>
  <si>
    <t xml:space="preserve">YTD Cumulative</t>
  </si>
  <si>
    <t xml:space="preserve">Jan</t>
  </si>
  <si>
    <t xml:space="preserve">—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</si>
  <si>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</si>
  <si>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</si>
  <si>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</si>
  <si>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</si>
  <si>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</si>
  <si>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</si>
  <si>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</si>
  <si>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</si>
  <si>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</si>
  <si>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</si>
  <si>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</si>
  <si>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</si>
  <si>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📊  SALES TREND DASHBOARD — FY 2024</t>
  </si>
  <si>
    <t xml:space="preserve">Interactive visual summary of monthly and category-level performance</t>
  </si>
  <si>
    <t xml:space="preserve">Total Revenue</t>
  </si>
  <si>
    <t xml:space="preserve">Best Month</t>
  </si>
  <si>
    <t xml:space="preserve">Top Category</t>
  </si>
  <si>
    <t xml:space="preserve">Annual Growth</t>
  </si>
  <si>
    <t xml:space="preserve">"Electronics"</t>
  </si>
  <si>
    <t xml:space="preserve">KEY INSIGHTS &amp; PERFORMANCE SUMMARY</t>
  </si>
  <si>
    <t xml:space="preserve">Revenue Growth</t>
  </si>
  <si>
    <t xml:space="preserve">Electronics led all categories with consistent month-over-month gains throughout FY2024.</t>
  </si>
  <si>
    <t xml:space="preserve">Seasonal Peak</t>
  </si>
  <si>
    <t xml:space="preserve">Q4 (Oct–Dec) recorded the highest sales volumes, driven by holiday demand.</t>
  </si>
  <si>
    <t xml:space="preserve">Weakest Period</t>
  </si>
  <si>
    <t xml:space="preserve">Q1 showed the slowest growth — recommend promotional campaigns for Jan–Feb.</t>
  </si>
  <si>
    <t xml:space="preserve">Category Mix</t>
  </si>
  <si>
    <t xml:space="preserve">Electronics + Apparel account for ~60% of total revenue; diversification advised.</t>
  </si>
  <si>
    <t xml:space="preserve">YTD Momentum</t>
  </si>
  <si>
    <t xml:space="preserve">YTD cumulative sales crossed $1M milestone in September.</t>
  </si>
  <si>
    <t xml:space="preserve">Recommendation</t>
  </si>
  <si>
    <t xml:space="preserve">Increase inventory for Sports &amp; Beauty — both showed accelerating growth in H2.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</si>
</sst>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;[RED]\-0.0%"/>
    <numFmt numFmtId="167" formatCode="0.0%"/>
    <numFmt numFmtId="168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5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107C41"/>
      <name val="Arial"/>
      <family val="0"/>
      <charset val="1"/>
    </font>
    <font>
      <b val="true"/>
      <sz val="18"/>
      <color rgb="FFC55A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2F8FF"/>
      </patternFill>
    </fill>
    <fill>
      <patternFill patternType="solid">
        <fgColor rgb="FF2E75B6"/>
        <bgColor rgb="FF5A6E8C"/>
      </patternFill>
    </fill>
    <fill>
      <patternFill patternType="solid">
        <fgColor rgb="FFD6E4F7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FC000"/>
        <bgColor rgb="FFFF9900"/>
      </patternFill>
    </fill>
    <fill>
      <patternFill patternType="solid">
        <fgColor rgb="FF107C41"/>
        <bgColor rgb="FF008080"/>
      </patternFill>
    </fill>
    <fill>
      <patternFill patternType="solid">
        <fgColor rgb="FFC55A11"/>
        <bgColor rgb="FF993300"/>
      </patternFill>
    </fill>
    <fill>
      <patternFill patternType="solid">
        <fgColor rgb="FFF2F8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07C41"/>
      <rgbColor rgb="FFBFBFBF"/>
      <rgbColor rgb="FF878787"/>
      <rgbColor rgb="FF9999FF"/>
      <rgbColor rgb="FF7030A0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F"/>
      <rgbColor rgb="FFD6E4F7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C55A11"/>
      <rgbColor rgb="FF5A6E8C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Total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Data'!G4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Data'!$G$5:$G$16</c:f>
              <c:numCache>
                <c:formatCode>\$#,##0</c:formatCode>
                <c:ptCount val="12"/>
                <c:pt idx="0">
                  <c:v>114645</c:v>
                </c:pt>
                <c:pt idx="1">
                  <c:v>123890</c:v>
                </c:pt>
                <c:pt idx="2">
                  <c:v>124090</c:v>
                </c:pt>
                <c:pt idx="3">
                  <c:v>133542</c:v>
                </c:pt>
                <c:pt idx="4">
                  <c:v>143340</c:v>
                </c:pt>
                <c:pt idx="5">
                  <c:v>142133</c:v>
                </c:pt>
                <c:pt idx="6">
                  <c:v>156953</c:v>
                </c:pt>
                <c:pt idx="7">
                  <c:v>161536</c:v>
                </c:pt>
                <c:pt idx="8">
                  <c:v>159883</c:v>
                </c:pt>
                <c:pt idx="9">
                  <c:v>163835</c:v>
                </c:pt>
                <c:pt idx="10">
                  <c:v>172830</c:v>
                </c:pt>
                <c:pt idx="11">
                  <c:v>179218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8836210"/>
        <c:axId val="83786223"/>
      </c:lineChart>
      <c:catAx>
        <c:axId val="588362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86223"/>
        <c:crosses val="autoZero"/>
        <c:auto val="1"/>
        <c:lblAlgn val="ctr"/>
        <c:lblOffset val="100"/>
        <c:noMultiLvlLbl val="0"/>
      </c:catAx>
      <c:valAx>
        <c:axId val="83786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362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Data'!$B$4:$F$4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</c:strCache>
            </c:strRef>
          </c:cat>
          <c:val>
            <c:numRef>
              <c:f>'Sales Data'!$B$17</c:f>
              <c:numCache>
                <c:formatCode>\$#,##0</c:formatCode>
                <c:ptCount val="1"/>
                <c:pt idx="0">
                  <c:v>656857</c:v>
                </c:pt>
              </c:numCache>
            </c:numRef>
          </c:val>
        </c:ser>
        <c:ser>
          <c:idx val="1"/>
          <c:order val="1"/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Data'!$B$4:$F$4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</c:strCache>
            </c:strRef>
          </c:cat>
          <c:val>
            <c:numRef>
              <c:f>'Sales Data'!$C$17</c:f>
              <c:numCache>
                <c:formatCode>\$#,##0</c:formatCode>
                <c:ptCount val="1"/>
                <c:pt idx="0">
                  <c:v>426829</c:v>
                </c:pt>
              </c:numCache>
            </c:numRef>
          </c:val>
        </c:ser>
        <c:ser>
          <c:idx val="2"/>
          <c:order val="2"/>
          <c:spPr>
            <a:solidFill>
              <a:srgbClr val="107c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Data'!$B$4:$F$4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</c:strCache>
            </c:strRef>
          </c:cat>
          <c:val>
            <c:numRef>
              <c:f>'Sales Data'!$D$17</c:f>
              <c:numCache>
                <c:formatCode>\$#,##0</c:formatCode>
                <c:ptCount val="1"/>
                <c:pt idx="0">
                  <c:v>287926</c:v>
                </c:pt>
              </c:numCache>
            </c:numRef>
          </c:val>
        </c:ser>
        <c:ser>
          <c:idx val="3"/>
          <c:order val="3"/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Data'!$B$4:$F$4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</c:strCache>
            </c:strRef>
          </c:cat>
          <c:val>
            <c:numRef>
              <c:f>'Sales Data'!$E$17</c:f>
              <c:numCache>
                <c:formatCode>\$#,##0</c:formatCode>
                <c:ptCount val="1"/>
                <c:pt idx="0">
                  <c:v>234644</c:v>
                </c:pt>
              </c:numCache>
            </c:numRef>
          </c:val>
        </c:ser>
        <c:ser>
          <c:idx val="4"/>
          <c:order val="4"/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Data'!$B$4:$F$4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Home &amp; Garden</c:v>
                </c:pt>
                <c:pt idx="3">
                  <c:v>Sports</c:v>
                </c:pt>
                <c:pt idx="4">
                  <c:v>Beauty</c:v>
                </c:pt>
              </c:strCache>
            </c:strRef>
          </c:cat>
          <c:val>
            <c:numRef>
              <c:f>'Sales Data'!$F$17</c:f>
              <c:numCache>
                <c:formatCode>\$#,##0</c:formatCode>
                <c:ptCount val="1"/>
                <c:pt idx="0">
                  <c:v>169639</c:v>
                </c:pt>
              </c:numCache>
            </c:numRef>
          </c:val>
        </c:ser>
        <c:gapWidth val="150"/>
        <c:overlap val="0"/>
        <c:axId val="96910228"/>
        <c:axId val="24406267"/>
      </c:barChart>
      <c:catAx>
        <c:axId val="96910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06267"/>
        <c:crosses val="autoZero"/>
        <c:auto val="1"/>
        <c:lblAlgn val="ctr"/>
        <c:lblOffset val="100"/>
        <c:noMultiLvlLbl val="0"/>
      </c:catAx>
      <c:valAx>
        <c:axId val="24406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10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10</xdr:col>
      <xdr:colOff>136080</xdr:colOff>
      <xdr:row>29</xdr:row>
      <xdr:rowOff>128520</xdr:rowOff>
    </xdr:to>
    <xdr:graphicFrame>
      <xdr:nvGraphicFramePr>
        <xdr:cNvPr id="0" name="Chart 1"/>
        <xdr:cNvGraphicFramePr/>
      </xdr:nvGraphicFramePr>
      <xdr:xfrm>
        <a:off x="0" y="20955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0</xdr:rowOff>
    </xdr:from>
    <xdr:to>
      <xdr:col>18</xdr:col>
      <xdr:colOff>96120</xdr:colOff>
      <xdr:row>29</xdr:row>
      <xdr:rowOff>128520</xdr:rowOff>
    </xdr:to>
    <xdr:graphicFrame>
      <xdr:nvGraphicFramePr>
        <xdr:cNvPr id="1" name="Chart 2"/>
        <xdr:cNvGraphicFramePr/>
      </xdr:nvGraphicFramePr>
      <xdr:xfrm>
        <a:off x="5709240" y="20955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s">
        <v>11</v>
      </c>
      <c r="B5" s="6" t="n">
        <v>44011</v>
      </c>
      <c r="C5" s="6" t="n">
        <v>25900</v>
      </c>
      <c r="D5" s="6" t="n">
        <v>18525</v>
      </c>
      <c r="E5" s="6" t="n">
        <v>14469</v>
      </c>
      <c r="F5" s="6" t="n">
        <v>11740</v>
      </c>
      <c r="G5" s="7" t="n">
        <f aca="false">SUM(B5:F5)</f>
        <v>114645</v>
      </c>
      <c r="H5" s="8" t="s">
        <v>12</v>
      </c>
      <c r="I5" s="6" t="n">
        <f aca="false">SUM($G$5:G5)</f>
        <v>114645</v>
      </c>
    </row>
    <row r="6" customFormat="false" ht="15" hidden="false" customHeight="false" outlineLevel="0" collapsed="false">
      <c r="A6" s="9" t="s">
        <v>13</v>
      </c>
      <c r="B6" s="10" t="n">
        <v>46424</v>
      </c>
      <c r="C6" s="10" t="n">
        <v>32156</v>
      </c>
      <c r="D6" s="10" t="n">
        <v>18760</v>
      </c>
      <c r="E6" s="10" t="n">
        <v>15815</v>
      </c>
      <c r="F6" s="10" t="n">
        <v>10735</v>
      </c>
      <c r="G6" s="11" t="n">
        <f aca="false">SUM(B6:F6)</f>
        <v>123890</v>
      </c>
      <c r="H6" s="12" t="n">
        <f aca="false">(G6-G5)/G5</f>
        <v>0.0806402372541323</v>
      </c>
      <c r="I6" s="10" t="n">
        <f aca="false">SUM($G$5:G6)</f>
        <v>238535</v>
      </c>
    </row>
    <row r="7" customFormat="false" ht="15" hidden="false" customHeight="false" outlineLevel="0" collapsed="false">
      <c r="A7" s="5" t="s">
        <v>14</v>
      </c>
      <c r="B7" s="6" t="n">
        <v>44676</v>
      </c>
      <c r="C7" s="6" t="n">
        <v>31389</v>
      </c>
      <c r="D7" s="6" t="n">
        <v>19480</v>
      </c>
      <c r="E7" s="6" t="n">
        <v>15896</v>
      </c>
      <c r="F7" s="6" t="n">
        <v>12649</v>
      </c>
      <c r="G7" s="7" t="n">
        <f aca="false">SUM(B7:F7)</f>
        <v>124090</v>
      </c>
      <c r="H7" s="13" t="n">
        <f aca="false">(G7-G6)/G6</f>
        <v>0.00161433529744128</v>
      </c>
      <c r="I7" s="6" t="n">
        <f aca="false">SUM($G$5:G7)</f>
        <v>362625</v>
      </c>
    </row>
    <row r="8" customFormat="false" ht="15" hidden="false" customHeight="false" outlineLevel="0" collapsed="false">
      <c r="A8" s="9" t="s">
        <v>15</v>
      </c>
      <c r="B8" s="10" t="n">
        <v>49517</v>
      </c>
      <c r="C8" s="10" t="n">
        <v>31194</v>
      </c>
      <c r="D8" s="10" t="n">
        <v>22569</v>
      </c>
      <c r="E8" s="10" t="n">
        <v>18478</v>
      </c>
      <c r="F8" s="10" t="n">
        <v>11784</v>
      </c>
      <c r="G8" s="11" t="n">
        <f aca="false">SUM(B8:F8)</f>
        <v>133542</v>
      </c>
      <c r="H8" s="12" t="n">
        <f aca="false">(G8-G7)/G7</f>
        <v>0.0761705213957611</v>
      </c>
      <c r="I8" s="10" t="n">
        <f aca="false">SUM($G$5:G8)</f>
        <v>496167</v>
      </c>
    </row>
    <row r="9" customFormat="false" ht="15" hidden="false" customHeight="false" outlineLevel="0" collapsed="false">
      <c r="A9" s="5" t="s">
        <v>16</v>
      </c>
      <c r="B9" s="6" t="n">
        <v>53808</v>
      </c>
      <c r="C9" s="6" t="n">
        <v>35269</v>
      </c>
      <c r="D9" s="6" t="n">
        <v>22572</v>
      </c>
      <c r="E9" s="6" t="n">
        <v>17266</v>
      </c>
      <c r="F9" s="6" t="n">
        <v>14425</v>
      </c>
      <c r="G9" s="7" t="n">
        <f aca="false">SUM(B9:F9)</f>
        <v>143340</v>
      </c>
      <c r="H9" s="13" t="n">
        <f aca="false">(G9-G8)/G8</f>
        <v>0.0733701756750685</v>
      </c>
      <c r="I9" s="6" t="n">
        <f aca="false">SUM($G$5:G9)</f>
        <v>639507</v>
      </c>
    </row>
    <row r="10" customFormat="false" ht="15" hidden="false" customHeight="false" outlineLevel="0" collapsed="false">
      <c r="A10" s="9" t="s">
        <v>17</v>
      </c>
      <c r="B10" s="10" t="n">
        <v>51967</v>
      </c>
      <c r="C10" s="10" t="n">
        <v>33279</v>
      </c>
      <c r="D10" s="10" t="n">
        <v>22597</v>
      </c>
      <c r="E10" s="10" t="n">
        <v>20092</v>
      </c>
      <c r="F10" s="10" t="n">
        <v>14198</v>
      </c>
      <c r="G10" s="11" t="n">
        <f aca="false">SUM(B10:F10)</f>
        <v>142133</v>
      </c>
      <c r="H10" s="12" t="n">
        <f aca="false">(G10-G9)/G9</f>
        <v>-0.00842053857960095</v>
      </c>
      <c r="I10" s="10" t="n">
        <f aca="false">SUM($G$5:G10)</f>
        <v>781640</v>
      </c>
    </row>
    <row r="11" customFormat="false" ht="15" hidden="false" customHeight="false" outlineLevel="0" collapsed="false">
      <c r="A11" s="5" t="s">
        <v>18</v>
      </c>
      <c r="B11" s="6" t="n">
        <v>58019</v>
      </c>
      <c r="C11" s="6" t="n">
        <v>38246</v>
      </c>
      <c r="D11" s="6" t="n">
        <v>25217</v>
      </c>
      <c r="E11" s="6" t="n">
        <v>21219</v>
      </c>
      <c r="F11" s="6" t="n">
        <v>14252</v>
      </c>
      <c r="G11" s="7" t="n">
        <f aca="false">SUM(B11:F11)</f>
        <v>156953</v>
      </c>
      <c r="H11" s="13" t="n">
        <f aca="false">(G11-G10)/G10</f>
        <v>0.104268537215144</v>
      </c>
      <c r="I11" s="6" t="n">
        <f aca="false">SUM($G$5:G11)</f>
        <v>938593</v>
      </c>
    </row>
    <row r="12" customFormat="false" ht="15" hidden="false" customHeight="false" outlineLevel="0" collapsed="false">
      <c r="A12" s="9" t="s">
        <v>19</v>
      </c>
      <c r="B12" s="10" t="n">
        <v>57977</v>
      </c>
      <c r="C12" s="10" t="n">
        <v>40204</v>
      </c>
      <c r="D12" s="10" t="n">
        <v>26480</v>
      </c>
      <c r="E12" s="10" t="n">
        <v>21635</v>
      </c>
      <c r="F12" s="10" t="n">
        <v>15240</v>
      </c>
      <c r="G12" s="11" t="n">
        <f aca="false">SUM(B12:F12)</f>
        <v>161536</v>
      </c>
      <c r="H12" s="12" t="n">
        <f aca="false">(G12-G11)/G11</f>
        <v>0.029199824151179</v>
      </c>
      <c r="I12" s="10" t="n">
        <f aca="false">SUM($G$5:G12)</f>
        <v>1100129</v>
      </c>
    </row>
    <row r="13" customFormat="false" ht="15" hidden="false" customHeight="false" outlineLevel="0" collapsed="false">
      <c r="A13" s="5" t="s">
        <v>20</v>
      </c>
      <c r="B13" s="6" t="n">
        <v>61358</v>
      </c>
      <c r="C13" s="6" t="n">
        <v>37216</v>
      </c>
      <c r="D13" s="6" t="n">
        <v>25946</v>
      </c>
      <c r="E13" s="6" t="n">
        <v>20668</v>
      </c>
      <c r="F13" s="6" t="n">
        <v>14695</v>
      </c>
      <c r="G13" s="7" t="n">
        <f aca="false">SUM(B13:F13)</f>
        <v>159883</v>
      </c>
      <c r="H13" s="13" t="n">
        <f aca="false">(G13-G12)/G12</f>
        <v>-0.0102330130744849</v>
      </c>
      <c r="I13" s="6" t="n">
        <f aca="false">SUM($G$5:G13)</f>
        <v>1260012</v>
      </c>
    </row>
    <row r="14" customFormat="false" ht="15" hidden="false" customHeight="false" outlineLevel="0" collapsed="false">
      <c r="A14" s="9" t="s">
        <v>21</v>
      </c>
      <c r="B14" s="10" t="n">
        <v>59495</v>
      </c>
      <c r="C14" s="10" t="n">
        <v>38925</v>
      </c>
      <c r="D14" s="10" t="n">
        <v>27086</v>
      </c>
      <c r="E14" s="10" t="n">
        <v>22457</v>
      </c>
      <c r="F14" s="10" t="n">
        <v>15872</v>
      </c>
      <c r="G14" s="11" t="n">
        <f aca="false">SUM(B14:F14)</f>
        <v>163835</v>
      </c>
      <c r="H14" s="12" t="n">
        <f aca="false">(G14-G13)/G13</f>
        <v>0.0247180750924113</v>
      </c>
      <c r="I14" s="10" t="n">
        <f aca="false">SUM($G$5:G14)</f>
        <v>1423847</v>
      </c>
    </row>
    <row r="15" customFormat="false" ht="15" hidden="false" customHeight="false" outlineLevel="0" collapsed="false">
      <c r="A15" s="5" t="s">
        <v>22</v>
      </c>
      <c r="B15" s="6" t="n">
        <v>62749</v>
      </c>
      <c r="C15" s="6" t="n">
        <v>40933</v>
      </c>
      <c r="D15" s="6" t="n">
        <v>27994</v>
      </c>
      <c r="E15" s="6" t="n">
        <v>24109</v>
      </c>
      <c r="F15" s="6" t="n">
        <v>17045</v>
      </c>
      <c r="G15" s="7" t="n">
        <f aca="false">SUM(B15:F15)</f>
        <v>172830</v>
      </c>
      <c r="H15" s="13" t="n">
        <f aca="false">(G15-G14)/G14</f>
        <v>0.054902798547319</v>
      </c>
      <c r="I15" s="6" t="n">
        <f aca="false">SUM($G$5:G15)</f>
        <v>1596677</v>
      </c>
    </row>
    <row r="16" customFormat="false" ht="15" hidden="false" customHeight="false" outlineLevel="0" collapsed="false">
      <c r="A16" s="9" t="s">
        <v>23</v>
      </c>
      <c r="B16" s="10" t="n">
        <v>66856</v>
      </c>
      <c r="C16" s="10" t="n">
        <v>42118</v>
      </c>
      <c r="D16" s="10" t="n">
        <v>30700</v>
      </c>
      <c r="E16" s="10" t="n">
        <v>22540</v>
      </c>
      <c r="F16" s="10" t="n">
        <v>17004</v>
      </c>
      <c r="G16" s="11" t="n">
        <f aca="false">SUM(B16:F16)</f>
        <v>179218</v>
      </c>
      <c r="H16" s="12" t="n">
        <f aca="false">(G16-G15)/G15</f>
        <v>0.0369611757218076</v>
      </c>
      <c r="I16" s="10" t="n">
        <f aca="false">SUM($G$5:G16)</f>
        <v>1775895</v>
      </c>
    </row>
    <row r="17" customFormat="false" ht="24.75" hidden="false" customHeight="true" outlineLevel="0" collapsed="false">
      <c r="A17" s="14" t="s">
        <v>24</v>
      </c>
      <c r="B17" s="15" t="n">
        <f aca="false">SUM(B5:B16)</f>
        <v>656857</v>
      </c>
      <c r="C17" s="15" t="n">
        <f aca="false">SUM(C5:C16)</f>
        <v>426829</v>
      </c>
      <c r="D17" s="15" t="n">
        <f aca="false">SUM(D5:D16)</f>
        <v>287926</v>
      </c>
      <c r="E17" s="15" t="n">
        <f aca="false">SUM(E5:E16)</f>
        <v>234644</v>
      </c>
      <c r="F17" s="15" t="n">
        <f aca="false">SUM(F5:F16)</f>
        <v>169639</v>
      </c>
      <c r="G17" s="15" t="n">
        <f aca="false">SUM(G5:G16)</f>
        <v>1775895</v>
      </c>
      <c r="H17" s="16" t="n">
        <f aca="false">((G16-G5)/G5)</f>
        <v>0.563243054646954</v>
      </c>
      <c r="I17" s="15" t="n">
        <f aca="false">G17</f>
        <v>1775895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9"/>
  </cols>
  <sheetData>
    <row r="1" customFormat="false" ht="49.5" hidden="false" customHeight="true" outlineLevel="0" collapsed="false">
      <c r="A1" s="17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customFormat="false" ht="19.5" hidden="false" customHeight="true" outlineLevel="0" collapsed="false">
      <c r="A2" s="18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4" customFormat="false" ht="21.75" hidden="false" customHeight="true" outlineLevel="0" collapsed="false">
      <c r="A4" s="19" t="s">
        <v>27</v>
      </c>
      <c r="B4" s="19"/>
      <c r="C4" s="19"/>
      <c r="D4" s="19"/>
      <c r="E4" s="20" t="s">
        <v>28</v>
      </c>
      <c r="F4" s="20"/>
      <c r="G4" s="20"/>
      <c r="H4" s="20"/>
      <c r="I4" s="21" t="s">
        <v>29</v>
      </c>
      <c r="J4" s="21"/>
      <c r="K4" s="21"/>
      <c r="L4" s="21"/>
      <c r="M4" s="22" t="s">
        <v>30</v>
      </c>
      <c r="N4" s="22"/>
      <c r="O4" s="22"/>
      <c r="P4" s="22"/>
    </row>
    <row r="5" customFormat="false" ht="34.5" hidden="false" customHeight="true" outlineLevel="0" collapsed="false">
      <c r="A5" s="23" t="n">
        <f aca="false">'Sales Data'!G17</f>
        <v>1775895</v>
      </c>
      <c r="B5" s="23"/>
      <c r="C5" s="23"/>
      <c r="D5" s="23"/>
      <c r="E5" s="24" t="n">
        <f aca="false">'Sales Data'!G16</f>
        <v>179218</v>
      </c>
      <c r="F5" s="24"/>
      <c r="G5" s="24"/>
      <c r="H5" s="24"/>
      <c r="I5" s="25" t="s">
        <v>31</v>
      </c>
      <c r="J5" s="25"/>
      <c r="K5" s="25"/>
      <c r="L5" s="25"/>
      <c r="M5" s="26" t="n">
        <f aca="false">'Sales Data'!H17</f>
        <v>0.563243054646954</v>
      </c>
      <c r="N5" s="26"/>
      <c r="O5" s="26"/>
      <c r="P5" s="26"/>
    </row>
    <row r="6" customFormat="false" ht="9.75" hidden="false" customHeight="true" outlineLevel="0" collapsed="false">
      <c r="A6" s="23"/>
      <c r="B6" s="23"/>
      <c r="C6" s="23"/>
      <c r="D6" s="23"/>
      <c r="E6" s="24"/>
      <c r="F6" s="24"/>
      <c r="G6" s="24"/>
      <c r="H6" s="24"/>
      <c r="I6" s="25"/>
      <c r="J6" s="25"/>
      <c r="K6" s="25"/>
      <c r="L6" s="25"/>
      <c r="M6" s="26"/>
      <c r="N6" s="26"/>
      <c r="O6" s="26"/>
      <c r="P6" s="26"/>
    </row>
  </sheetData>
  <mergeCells count="10">
    <mergeCell ref="A1:P1"/>
    <mergeCell ref="A2:P2"/>
    <mergeCell ref="A4:D4"/>
    <mergeCell ref="E4:H4"/>
    <mergeCell ref="I4:L4"/>
    <mergeCell ref="M4:P4"/>
    <mergeCell ref="A5:D6"/>
    <mergeCell ref="E5:H6"/>
    <mergeCell ref="I5:L6"/>
    <mergeCell ref="M5:P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4"/>
  </cols>
  <sheetData>
    <row r="1" customFormat="false" ht="36" hidden="false" customHeight="true" outlineLevel="0" collapsed="false">
      <c r="A1" s="27" t="s">
        <v>32</v>
      </c>
      <c r="B1" s="27"/>
      <c r="C1" s="27"/>
      <c r="D1" s="27"/>
      <c r="E1" s="27"/>
      <c r="F1" s="27"/>
      <c r="G1" s="27"/>
      <c r="H1" s="27"/>
    </row>
    <row r="3" customFormat="false" ht="30" hidden="false" customHeight="true" outlineLevel="0" collapsed="false">
      <c r="A3" s="28" t="s">
        <v>33</v>
      </c>
      <c r="B3" s="29" t="s">
        <v>34</v>
      </c>
      <c r="C3" s="29"/>
      <c r="D3" s="29"/>
      <c r="E3" s="29"/>
      <c r="F3" s="29"/>
      <c r="G3" s="29"/>
      <c r="H3" s="29"/>
    </row>
    <row r="4" customFormat="false" ht="30" hidden="false" customHeight="true" outlineLevel="0" collapsed="false">
      <c r="A4" s="28" t="s">
        <v>35</v>
      </c>
      <c r="B4" s="30" t="s">
        <v>36</v>
      </c>
      <c r="C4" s="30"/>
      <c r="D4" s="30"/>
      <c r="E4" s="30"/>
      <c r="F4" s="30"/>
      <c r="G4" s="30"/>
      <c r="H4" s="30"/>
    </row>
    <row r="5" customFormat="false" ht="30" hidden="false" customHeight="true" outlineLevel="0" collapsed="false">
      <c r="A5" s="28" t="s">
        <v>37</v>
      </c>
      <c r="B5" s="29" t="s">
        <v>38</v>
      </c>
      <c r="C5" s="29"/>
      <c r="D5" s="29"/>
      <c r="E5" s="29"/>
      <c r="F5" s="29"/>
      <c r="G5" s="29"/>
      <c r="H5" s="29"/>
    </row>
    <row r="6" customFormat="false" ht="30" hidden="false" customHeight="true" outlineLevel="0" collapsed="false">
      <c r="A6" s="28" t="s">
        <v>39</v>
      </c>
      <c r="B6" s="30" t="s">
        <v>40</v>
      </c>
      <c r="C6" s="30"/>
      <c r="D6" s="30"/>
      <c r="E6" s="30"/>
      <c r="F6" s="30"/>
      <c r="G6" s="30"/>
      <c r="H6" s="30"/>
    </row>
    <row r="7" customFormat="false" ht="30" hidden="false" customHeight="true" outlineLevel="0" collapsed="false">
      <c r="A7" s="28" t="s">
        <v>41</v>
      </c>
      <c r="B7" s="29" t="s">
        <v>42</v>
      </c>
      <c r="C7" s="29"/>
      <c r="D7" s="29"/>
      <c r="E7" s="29"/>
      <c r="F7" s="29"/>
      <c r="G7" s="29"/>
      <c r="H7" s="29"/>
    </row>
    <row r="8" customFormat="false" ht="30" hidden="false" customHeight="true" outlineLevel="0" collapsed="false">
      <c r="A8" s="28" t="s">
        <v>43</v>
      </c>
      <c r="B8" s="30" t="s">
        <v>44</v>
      </c>
      <c r="C8" s="30"/>
      <c r="D8" s="30"/>
      <c r="E8" s="30"/>
      <c r="F8" s="30"/>
      <c r="G8" s="30"/>
      <c r="H8" s="30"/>
    </row>
  </sheetData>
  <mergeCells count="7">
    <mergeCell ref="A1:H1"/>
    <mergeCell ref="B3:H3"/>
    <mergeCell ref="B4:H4"/>
    <mergeCell ref="B5:H5"/>
    <mergeCell ref="B6:H6"/>
    <mergeCell ref="B7:H7"/>
    <mergeCell ref="B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2026-06-05T10:50:59Z</dcterms:created>
  <dc:creator>openpyxl</dc:creator>
  <dc:description/>
  <dc:language>en-US</dc:language>
  <cp:lastModifiedBy/>
  <dcterms:modified xsi:type="dcterms:W3CDTF">2026-06-05T10:51:18Z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